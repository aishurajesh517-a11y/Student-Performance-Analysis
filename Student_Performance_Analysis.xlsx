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\"/>
    </mc:Choice>
  </mc:AlternateContent>
  <xr:revisionPtr revIDLastSave="0" documentId="13_ncr:1_{B84003C2-2D65-40EC-BFF1-A707B3FB374C}" xr6:coauthVersionLast="47" xr6:coauthVersionMax="47" xr10:uidLastSave="{00000000-0000-0000-0000-000000000000}"/>
  <bookViews>
    <workbookView xWindow="0" yWindow="225" windowWidth="11985" windowHeight="10575" xr2:uid="{3739E0D1-0766-4502-BAF3-75A439A486E2}"/>
  </bookViews>
  <sheets>
    <sheet name="Marks Data" sheetId="1" r:id="rId1"/>
    <sheet name="Dashboard" sheetId="2" r:id="rId2"/>
    <sheet name="Project Report" sheetId="3" r:id="rId3"/>
    <sheet name="Dashboard Data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/>
  <c r="F4" i="4"/>
  <c r="F3" i="4"/>
  <c r="F2" i="4"/>
  <c r="B6" i="4"/>
  <c r="B6" i="2"/>
  <c r="I8" i="1"/>
  <c r="J8" i="1"/>
  <c r="B21" i="1"/>
  <c r="H8" i="1"/>
  <c r="G8" i="1"/>
  <c r="G4" i="1"/>
  <c r="G5" i="1"/>
  <c r="G6" i="1"/>
  <c r="H6" i="1" s="1"/>
  <c r="G7" i="1"/>
  <c r="G9" i="1"/>
  <c r="G10" i="1"/>
  <c r="G11" i="1"/>
  <c r="G12" i="1"/>
  <c r="G13" i="1"/>
  <c r="H5" i="1"/>
  <c r="I5" i="1" s="1"/>
  <c r="H7" i="1"/>
  <c r="I7" i="1" s="1"/>
  <c r="H9" i="1"/>
  <c r="I9" i="1" s="1"/>
  <c r="H10" i="1"/>
  <c r="H11" i="1"/>
  <c r="I11" i="1" s="1"/>
  <c r="H12" i="1"/>
  <c r="I12" i="1" s="1"/>
  <c r="H13" i="1"/>
  <c r="I13" i="1" s="1"/>
  <c r="H4" i="1"/>
  <c r="I4" i="1" s="1"/>
  <c r="J5" i="1"/>
  <c r="J6" i="1"/>
  <c r="J7" i="1"/>
  <c r="J9" i="1"/>
  <c r="J10" i="1"/>
  <c r="J11" i="1"/>
  <c r="J12" i="1"/>
  <c r="J13" i="1"/>
  <c r="J4" i="1"/>
  <c r="B10" i="2" l="1"/>
  <c r="I6" i="1"/>
  <c r="B17" i="1"/>
  <c r="I10" i="1"/>
  <c r="B2" i="4" l="1"/>
  <c r="B4" i="4"/>
  <c r="B5" i="4"/>
  <c r="B7" i="4"/>
  <c r="B3" i="4"/>
  <c r="B20" i="1"/>
  <c r="E10" i="2"/>
  <c r="B19" i="1"/>
  <c r="E6" i="2"/>
  <c r="B18" i="1"/>
</calcChain>
</file>

<file path=xl/sharedStrings.xml><?xml version="1.0" encoding="utf-8"?>
<sst xmlns="http://schemas.openxmlformats.org/spreadsheetml/2006/main" count="66" uniqueCount="61">
  <si>
    <t>STUDENT MARKS &amp; GRADE CALCULATOR</t>
  </si>
  <si>
    <t>Student Name</t>
  </si>
  <si>
    <t>English</t>
  </si>
  <si>
    <t>Mathematics</t>
  </si>
  <si>
    <t>Science</t>
  </si>
  <si>
    <t>Computer</t>
  </si>
  <si>
    <t>Total</t>
  </si>
  <si>
    <t>Percentage</t>
  </si>
  <si>
    <t>Grade</t>
  </si>
  <si>
    <t>Result</t>
  </si>
  <si>
    <t>Aarav</t>
  </si>
  <si>
    <t>Diya</t>
  </si>
  <si>
    <t>Kabir</t>
  </si>
  <si>
    <t>Anaya</t>
  </si>
  <si>
    <t>Rohan</t>
  </si>
  <si>
    <t>Ishita</t>
  </si>
  <si>
    <t>Vivaan</t>
  </si>
  <si>
    <t>Meera</t>
  </si>
  <si>
    <t>Arjun</t>
  </si>
  <si>
    <t>Sara</t>
  </si>
  <si>
    <t>CLASS SUMMARY</t>
  </si>
  <si>
    <t>Average Percentage</t>
  </si>
  <si>
    <t>Highest Percentage</t>
  </si>
  <si>
    <t>Lowest Percentage</t>
  </si>
  <si>
    <t>Students Passed</t>
  </si>
  <si>
    <t>Students Failed</t>
  </si>
  <si>
    <t>K3:XFD3</t>
  </si>
  <si>
    <t>STUDENT PERFORMANCE DASHBOARD</t>
  </si>
  <si>
    <t>CLASS AVERAGE</t>
  </si>
  <si>
    <t>TOTAL STUDENTS</t>
  </si>
  <si>
    <t>HIGHEST %</t>
  </si>
  <si>
    <t>PASS RATE</t>
  </si>
  <si>
    <t>Number of Students</t>
  </si>
  <si>
    <t>A+</t>
  </si>
  <si>
    <t>A</t>
  </si>
  <si>
    <t>B</t>
  </si>
  <si>
    <t>C</t>
  </si>
  <si>
    <t>D</t>
  </si>
  <si>
    <t>F</t>
  </si>
  <si>
    <t>Subject</t>
  </si>
  <si>
    <t>Average</t>
  </si>
  <si>
    <t>STUDENT PERFORMANCE ANALYSIS</t>
  </si>
  <si>
    <t>1. Project Objective</t>
  </si>
  <si>
    <t>The objective of this project is to analyze student marks using Microsoft Excel and create an interactive dashboard that summarizes student performance, grades, subject averages, and pass rate.</t>
  </si>
  <si>
    <t>2.Tools Used</t>
  </si>
  <si>
    <t>Microsoft Excel</t>
  </si>
  <si>
    <t>3.Dataset</t>
  </si>
  <si>
    <t>The dataset contains marks for 10 students across four subjects: English, Mathematics, Science, and Computer.</t>
  </si>
  <si>
    <t>4.Excel Functions Used</t>
  </si>
  <si>
    <t>5. Key Performance Indicators</t>
  </si>
  <si>
    <t>6. Dashboard Visualizations</t>
  </si>
  <si>
    <t>The dashboard includes Grade Distribution, Student Performance, and Subject Average charts.</t>
  </si>
  <si>
    <t>7. Key Findings</t>
  </si>
  <si>
    <t>8. Conclusion</t>
  </si>
  <si>
    <t>This project demonstrates how Excel can be used to transform raw student marks into meaningful performance insights through formulas, conditional formatting, KPIs, and charts.</t>
  </si>
  <si>
    <t>SUM,  AVERAGE,  COUNTIF,  IF,  Conditional Formatting,  Excel Tables,  Cell Formatting,  and  Charts.</t>
  </si>
  <si>
    <t>The dashboard shows that most students achieved passing grades. Computer has the highest subject average, while the grade distribution provides a clear overview of  overall student performance.</t>
  </si>
  <si>
    <r>
      <rPr>
        <b/>
        <sz val="11"/>
        <color theme="1"/>
        <rFont val="Aptos Narrow"/>
        <family val="2"/>
        <scheme val="minor"/>
      </rPr>
      <t>Total Students:</t>
    </r>
    <r>
      <rPr>
        <sz val="11"/>
        <color theme="1"/>
        <rFont val="Aptos Narrow"/>
        <family val="2"/>
        <scheme val="minor"/>
      </rPr>
      <t xml:space="preserve"> 10</t>
    </r>
  </si>
  <si>
    <r>
      <rPr>
        <b/>
        <sz val="11"/>
        <color theme="1"/>
        <rFont val="Aptos Narrow"/>
        <family val="2"/>
        <scheme val="minor"/>
      </rPr>
      <t xml:space="preserve">Class Average: </t>
    </r>
    <r>
      <rPr>
        <sz val="11"/>
        <color theme="1"/>
        <rFont val="Aptos Narrow"/>
        <family val="2"/>
        <scheme val="minor"/>
      </rPr>
      <t>72.68</t>
    </r>
  </si>
  <si>
    <r>
      <rPr>
        <b/>
        <sz val="11"/>
        <color theme="1"/>
        <rFont val="Aptos Narrow"/>
        <family val="2"/>
        <scheme val="minor"/>
      </rPr>
      <t>Highest Percentage:</t>
    </r>
    <r>
      <rPr>
        <sz val="11"/>
        <color theme="1"/>
        <rFont val="Aptos Narrow"/>
        <family val="2"/>
        <scheme val="minor"/>
      </rPr>
      <t xml:space="preserve"> 94.75</t>
    </r>
  </si>
  <si>
    <r>
      <rPr>
        <b/>
        <sz val="11"/>
        <color theme="1"/>
        <rFont val="Aptos Narrow"/>
        <family val="2"/>
        <scheme val="minor"/>
      </rPr>
      <t xml:space="preserve">Pass Rate: </t>
    </r>
    <r>
      <rPr>
        <sz val="11"/>
        <color theme="1"/>
        <rFont val="Aptos Narrow"/>
        <family val="2"/>
        <scheme val="minor"/>
      </rPr>
      <t>90%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</si>
</sst>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2"/>
      <color theme="0"/>
      <name val="Arial Unicode MS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9" fontId="4" fillId="3" borderId="1" xfId="1" applyFont="1" applyFill="1" applyBorder="1" applyAlignment="1">
      <alignment horizontal="center"/>
    </xf>
    <xf numFmtId="9" fontId="4" fillId="3" borderId="2" xfId="1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2" fontId="4" fillId="3" borderId="1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0" fontId="0" fillId="0" borderId="0" xfId="0" applyAlignment="1"/>
    <xf numFmtId="0" fontId="5" fillId="0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/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/>
    <xf numFmtId="0" fontId="7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Normal" xfId="0" builtinId="0"/>
    <cellStyle name="Percent" xfId="1" builtinId="5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</font>
      <fill>
        <patternFill patternType="solid">
          <fgColor indexed="64"/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Grade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D6-410F-97F7-853739F5D1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D6-410F-97F7-853739F5D1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D6-410F-97F7-853739F5D1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D6-410F-97F7-853739F5D1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0D6-410F-97F7-853739F5D1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0D6-410F-97F7-853739F5D1D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0D6-410F-97F7-853739F5D1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cmpd="sng"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'Dashboard Data'!$A$1:$A$7</c:f>
              <c:strCache>
                <c:ptCount val="7"/>
                <c:pt idx="0">
                  <c:v>Grade</c:v>
                </c:pt>
                <c:pt idx="1">
                  <c:v>A+</c:v>
                </c:pt>
                <c:pt idx="2">
                  <c:v>A</c:v>
                </c:pt>
                <c:pt idx="3">
                  <c:v>B</c:v>
                </c:pt>
                <c:pt idx="4">
                  <c:v>C</c:v>
                </c:pt>
                <c:pt idx="5">
                  <c:v>D</c:v>
                </c:pt>
                <c:pt idx="6">
                  <c:v>F</c:v>
                </c:pt>
              </c:strCache>
            </c:strRef>
          </c:cat>
          <c:val>
            <c:numRef>
              <c:f>'Dashboard Data'!$B$1:$B$7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B-479E-9155-9A44B1B9C9D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0D6-410F-97F7-853739F5D1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0D6-410F-97F7-853739F5D1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0D6-410F-97F7-853739F5D1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0D6-410F-97F7-853739F5D1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0D6-410F-97F7-853739F5D1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0D6-410F-97F7-853739F5D1D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0D6-410F-97F7-853739F5D1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Data'!$A$1:$A$7</c:f>
              <c:strCache>
                <c:ptCount val="7"/>
                <c:pt idx="0">
                  <c:v>Grade</c:v>
                </c:pt>
                <c:pt idx="1">
                  <c:v>A+</c:v>
                </c:pt>
                <c:pt idx="2">
                  <c:v>A</c:v>
                </c:pt>
                <c:pt idx="3">
                  <c:v>B</c:v>
                </c:pt>
                <c:pt idx="4">
                  <c:v>C</c:v>
                </c:pt>
                <c:pt idx="5">
                  <c:v>D</c:v>
                </c:pt>
                <c:pt idx="6">
                  <c:v>F</c:v>
                </c:pt>
              </c:strCache>
            </c:strRef>
          </c:cat>
          <c:val>
            <c:numRef>
              <c:f>'Dashboard Data'!$C$1:$C$7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346B-479E-9155-9A44B1B9C9D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'Marks Data'!$B$4:$B$13</c:f>
              <c:strCache>
                <c:ptCount val="10"/>
                <c:pt idx="0">
                  <c:v>Aarav</c:v>
                </c:pt>
                <c:pt idx="1">
                  <c:v>Diya</c:v>
                </c:pt>
                <c:pt idx="2">
                  <c:v>Kabir</c:v>
                </c:pt>
                <c:pt idx="3">
                  <c:v>Anaya</c:v>
                </c:pt>
                <c:pt idx="4">
                  <c:v>Rohan</c:v>
                </c:pt>
                <c:pt idx="5">
                  <c:v>Ishita</c:v>
                </c:pt>
                <c:pt idx="6">
                  <c:v>Vivaan</c:v>
                </c:pt>
                <c:pt idx="7">
                  <c:v>Meera</c:v>
                </c:pt>
                <c:pt idx="8">
                  <c:v>Arjun</c:v>
                </c:pt>
                <c:pt idx="9">
                  <c:v>Sara</c:v>
                </c:pt>
              </c:strCache>
            </c:strRef>
          </c:cat>
          <c:val>
            <c:numRef>
              <c:f>'Marks Data'!$H$4:$H$13</c:f>
              <c:numCache>
                <c:formatCode>0.00</c:formatCode>
                <c:ptCount val="10"/>
                <c:pt idx="0">
                  <c:v>83.75</c:v>
                </c:pt>
                <c:pt idx="1">
                  <c:v>91.5</c:v>
                </c:pt>
                <c:pt idx="2">
                  <c:v>68.75</c:v>
                </c:pt>
                <c:pt idx="3">
                  <c:v>59.5</c:v>
                </c:pt>
                <c:pt idx="4">
                  <c:v>48.25</c:v>
                </c:pt>
                <c:pt idx="5">
                  <c:v>84.5</c:v>
                </c:pt>
                <c:pt idx="6">
                  <c:v>40</c:v>
                </c:pt>
                <c:pt idx="7">
                  <c:v>73.25</c:v>
                </c:pt>
                <c:pt idx="8">
                  <c:v>94.75</c:v>
                </c:pt>
                <c:pt idx="9">
                  <c:v>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3-438D-BB83-CD64FB9EE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128367"/>
        <c:axId val="1872400527"/>
      </c:barChart>
      <c:catAx>
        <c:axId val="198912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400527"/>
        <c:crosses val="autoZero"/>
        <c:auto val="1"/>
        <c:lblAlgn val="ctr"/>
        <c:lblOffset val="100"/>
        <c:noMultiLvlLbl val="0"/>
      </c:catAx>
      <c:valAx>
        <c:axId val="187240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12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Subject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Data'!$F$1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Data'!$E$2:$E$5</c:f>
              <c:strCache>
                <c:ptCount val="4"/>
                <c:pt idx="0">
                  <c:v>English</c:v>
                </c:pt>
                <c:pt idx="1">
                  <c:v>Mathematics</c:v>
                </c:pt>
                <c:pt idx="2">
                  <c:v>Science</c:v>
                </c:pt>
                <c:pt idx="3">
                  <c:v>Computer</c:v>
                </c:pt>
              </c:strCache>
            </c:strRef>
          </c:cat>
          <c:val>
            <c:numRef>
              <c:f>'Dashboard Data'!$F$2:$F$5</c:f>
              <c:numCache>
                <c:formatCode>General</c:formatCode>
                <c:ptCount val="4"/>
                <c:pt idx="0">
                  <c:v>70.599999999999994</c:v>
                </c:pt>
                <c:pt idx="1">
                  <c:v>73.099999999999994</c:v>
                </c:pt>
                <c:pt idx="2">
                  <c:v>72.3</c:v>
                </c:pt>
                <c:pt idx="3">
                  <c:v>74.7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5-4928-8FC8-203AC2F6A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332767"/>
        <c:axId val="2077599183"/>
      </c:barChart>
      <c:catAx>
        <c:axId val="208033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599183"/>
        <c:crosses val="autoZero"/>
        <c:auto val="1"/>
        <c:lblAlgn val="ctr"/>
        <c:lblOffset val="100"/>
        <c:noMultiLvlLbl val="0"/>
      </c:catAx>
      <c:valAx>
        <c:axId val="207759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33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4</xdr:row>
      <xdr:rowOff>8862</xdr:rowOff>
    </xdr:from>
    <xdr:to>
      <xdr:col>13</xdr:col>
      <xdr:colOff>16423</xdr:colOff>
      <xdr:row>13</xdr:row>
      <xdr:rowOff>164222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2A3409-9E11-35E2-293B-9CC6FAAD7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25236</xdr:colOff>
      <xdr:row>15</xdr:row>
      <xdr:rowOff>12871</xdr:rowOff>
    </xdr:from>
    <xdr:to>
      <xdr:col>6</xdr:col>
      <xdr:colOff>607845</xdr:colOff>
      <xdr:row>29</xdr:row>
      <xdr:rowOff>11906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2354F6-49AC-4717-922F-244BB58DC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604340</xdr:colOff>
      <xdr:row>14</xdr:row>
      <xdr:rowOff>185968</xdr:rowOff>
    </xdr:from>
    <xdr:to>
      <xdr:col>14</xdr:col>
      <xdr:colOff>10467</xdr:colOff>
      <xdr:row>29</xdr:row>
      <xdr:rowOff>2480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2525A0-3A38-3823-93D4-A51AD00C6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136072</xdr:colOff>
      <xdr:row>25</xdr:row>
      <xdr:rowOff>108321</xdr:rowOff>
    </xdr:from>
    <xdr:to>
      <xdr:col>6</xdr:col>
      <xdr:colOff>488247</xdr:colOff>
      <xdr:row>37</xdr:row>
      <xdr:rowOff>7441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625CB0C-4B15-AE10-5B4F-F7B3CD198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160" y="5645381"/>
          <a:ext cx="3387614" cy="216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rks%20F12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s F12Data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FBBCFD-78EA-40EA-A430-E9CC388DAA31}" name="Table1" displayName="Table1" ref="A3:J13" totalsRowShown="0" headerRowDxfId="11">
  <autoFilter ref="A3:J13" xr:uid="{60FBBCFD-78EA-40EA-A430-E9CC388DAA31}"/>
  <tableColumns count="10">
    <tableColumn id="1" xr3:uid="{907ACA61-FDEA-475A-889C-1CB7D5E7BB3A}" name="K3:XFD3"/>
    <tableColumn id="2" xr3:uid="{BA5BDA42-E401-4C5C-A830-26BDC141E920}" name="Student Name"/>
    <tableColumn id="3" xr3:uid="{DE44AE0C-939F-4037-A4AE-19B07F26D65E}" name="English" dataDxfId="10"/>
    <tableColumn id="4" xr3:uid="{94127C90-F678-4C29-80D8-18CA875209F2}" name="Mathematics" dataDxfId="9"/>
    <tableColumn id="5" xr3:uid="{2E5140A3-D4EF-4CDF-9D9C-D6C3C51B582E}" name="Science" dataDxfId="8"/>
    <tableColumn id="6" xr3:uid="{B2792F96-112B-4A70-8AD3-0635E6B9C6DC}" name="Computer" dataDxfId="7"/>
    <tableColumn id="7" xr3:uid="{ED3CD245-48BC-4E80-8A6B-42BFEDA37377}" name="Total" dataDxfId="6">
      <calculatedColumnFormula>SUM(C4:F4)</calculatedColumnFormula>
    </tableColumn>
    <tableColumn id="8" xr3:uid="{C3A51653-8310-4C47-B742-E2BEC292B195}" name="Percentage" dataDxfId="5">
      <calculatedColumnFormula>G4/400*100</calculatedColumnFormula>
    </tableColumn>
    <tableColumn id="9" xr3:uid="{D2AF6509-6911-47B3-A10B-B92DBBD7965D}" name="Grade" dataDxfId="4">
      <calculatedColumnFormula>IF(H4&gt;=90,"A+",IF(H4&gt;=80,"A",IF(H4&gt;=70,"B",IF(H4&gt;=60,"C",IF(H4&gt;=50,"D","F")))))</calculatedColumnFormula>
    </tableColumn>
    <tableColumn id="10" xr3:uid="{5F3462E4-832A-4C8D-8900-454187666A54}" name="Result">
      <calculatedColumnFormula>IF(MIN(C4:F4)&gt;=40,"PASS","FAIL")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42C2-E75B-437A-96A8-ADCC6D66D9E1}">
  <dimension ref="A1:J21"/>
  <sheetViews>
    <sheetView tabSelected="1" zoomScale="83" workbookViewId="0">
      <pane ySplit="3" topLeftCell="A4" activePane="bottomLeft" state="frozen"/>
      <selection pane="bottomLeft" activeCell="F6" sqref="F6"/>
    </sheetView>
  </sheetViews>
  <sheetFormatPr defaultRowHeight="15"/>
  <cols>
    <col min="1" max="1" width="18.28515625" bestFit="1" customWidth="1"/>
    <col min="2" max="2" width="16.28515625" bestFit="1" customWidth="1"/>
    <col min="3" max="3" width="10.140625" bestFit="1" customWidth="1"/>
    <col min="4" max="4" width="15.28515625" bestFit="1" customWidth="1"/>
    <col min="5" max="5" width="10.5703125" bestFit="1" customWidth="1"/>
    <col min="6" max="6" width="12.5703125" bestFit="1" customWidth="1"/>
    <col min="7" max="7" width="8" bestFit="1" customWidth="1"/>
    <col min="8" max="8" width="13.42578125" bestFit="1" customWidth="1"/>
    <col min="9" max="9" width="9.140625" bestFit="1" customWidth="1"/>
  </cols>
  <sheetData>
    <row r="1" spans="1:10" ht="2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H2" s="2"/>
    </row>
    <row r="3" spans="1:10">
      <c r="A3" s="1" t="s">
        <v>26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>
      <c r="A4">
        <v>1</v>
      </c>
      <c r="B4" t="s">
        <v>10</v>
      </c>
      <c r="C4" s="2">
        <v>78</v>
      </c>
      <c r="D4" s="2">
        <v>85</v>
      </c>
      <c r="E4" s="2">
        <v>82</v>
      </c>
      <c r="F4" s="2">
        <v>90</v>
      </c>
      <c r="G4" s="2">
        <f>SUM(C4:F4)</f>
        <v>335</v>
      </c>
      <c r="H4" s="3">
        <f>G4/400*100</f>
        <v>83.75</v>
      </c>
      <c r="I4" s="5" t="str">
        <f>IF(H4&gt;=90,"A+",IF(H4&gt;=80,"A",IF(H4&gt;=70,"B",IF(H4&gt;=60,"C",IF(H4&gt;=50,"D","F")))))</f>
        <v>A</v>
      </c>
      <c r="J4" t="str">
        <f>IF(MIN(C4:F4)&gt;=40,"PASS","FAIL")</f>
        <v>PASS</v>
      </c>
    </row>
    <row r="5" spans="1:10">
      <c r="A5">
        <v>2</v>
      </c>
      <c r="B5" t="s">
        <v>11</v>
      </c>
      <c r="C5" s="2">
        <v>92</v>
      </c>
      <c r="D5" s="2">
        <v>88</v>
      </c>
      <c r="E5" s="2">
        <v>95</v>
      </c>
      <c r="F5" s="2">
        <v>91</v>
      </c>
      <c r="G5" s="2">
        <f t="shared" ref="G5:G13" si="0">SUM(C5:F5)</f>
        <v>366</v>
      </c>
      <c r="H5" s="3">
        <f t="shared" ref="H5:H13" si="1">G5/400*100</f>
        <v>91.5</v>
      </c>
      <c r="I5" s="5" t="str">
        <f>IF(H5&gt;=I790,"A+",IF(H5&gt;=80,"A",IF(H5&gt;=70,"B",IF(H5&gt;=60,"C",IF(H5&gt;=50,"D","F")))))</f>
        <v>A+</v>
      </c>
      <c r="J5" t="str">
        <f t="shared" ref="J5:J13" si="2">IF(MIN(C5:F5)&gt;=40,"PASS","FAIL")</f>
        <v>PASS</v>
      </c>
    </row>
    <row r="6" spans="1:10">
      <c r="A6">
        <v>3</v>
      </c>
      <c r="B6" t="s">
        <v>12</v>
      </c>
      <c r="C6" s="2">
        <v>65</v>
      </c>
      <c r="D6" s="2">
        <v>72</v>
      </c>
      <c r="E6" s="2">
        <v>68</v>
      </c>
      <c r="F6" s="2">
        <v>70</v>
      </c>
      <c r="G6" s="2">
        <f t="shared" si="0"/>
        <v>275</v>
      </c>
      <c r="H6" s="3">
        <f t="shared" si="1"/>
        <v>68.75</v>
      </c>
      <c r="I6" s="5" t="str">
        <f t="shared" ref="I6:I13" si="3">IF(H6&gt;=90,"A+",IF(H6&gt;=80,"A",IF(H6&gt;=70,"B",IF(H6&gt;=60,"C",IF(H6&gt;=50,"D","F")))))</f>
        <v>C</v>
      </c>
      <c r="J6" t="str">
        <f t="shared" si="2"/>
        <v>PASS</v>
      </c>
    </row>
    <row r="7" spans="1:10">
      <c r="A7">
        <v>4</v>
      </c>
      <c r="B7" t="s">
        <v>13</v>
      </c>
      <c r="C7" s="2">
        <v>55</v>
      </c>
      <c r="D7" s="2">
        <v>61</v>
      </c>
      <c r="E7" s="2">
        <v>58</v>
      </c>
      <c r="F7" s="2">
        <v>64</v>
      </c>
      <c r="G7" s="2">
        <f t="shared" si="0"/>
        <v>238</v>
      </c>
      <c r="H7" s="3">
        <f t="shared" si="1"/>
        <v>59.5</v>
      </c>
      <c r="I7" s="5" t="str">
        <f t="shared" si="3"/>
        <v>D</v>
      </c>
      <c r="J7" t="str">
        <f t="shared" si="2"/>
        <v>PASS</v>
      </c>
    </row>
    <row r="8" spans="1:10">
      <c r="A8">
        <v>5</v>
      </c>
      <c r="B8" t="s">
        <v>14</v>
      </c>
      <c r="C8" s="2">
        <v>43</v>
      </c>
      <c r="D8" s="2">
        <v>52</v>
      </c>
      <c r="E8" s="2">
        <v>48</v>
      </c>
      <c r="F8" s="2">
        <v>50</v>
      </c>
      <c r="G8" s="2">
        <f>SUM(C8:F8)</f>
        <v>193</v>
      </c>
      <c r="H8" s="3">
        <f>G8/400*100</f>
        <v>48.25</v>
      </c>
      <c r="I8" s="5" t="str">
        <f>IF(H8&gt;=90,"A+",IF(H8&gt;=80,"A",IF(H8&gt;=70,"B",IF(H8&gt;=60,"C",IF(H8&gt;=50,"D","F")))))</f>
        <v>F</v>
      </c>
      <c r="J8" t="str">
        <f>IF(MIN(C8:F8)&gt;=40,"PASS","FAIL")</f>
        <v>PASS</v>
      </c>
    </row>
    <row r="9" spans="1:10">
      <c r="A9">
        <v>6</v>
      </c>
      <c r="B9" t="s">
        <v>15</v>
      </c>
      <c r="C9" s="2">
        <v>87</v>
      </c>
      <c r="D9" s="2">
        <v>79</v>
      </c>
      <c r="E9" s="2">
        <v>84</v>
      </c>
      <c r="F9" s="2">
        <v>88</v>
      </c>
      <c r="G9" s="2">
        <f t="shared" si="0"/>
        <v>338</v>
      </c>
      <c r="H9" s="3">
        <f t="shared" si="1"/>
        <v>84.5</v>
      </c>
      <c r="I9" s="5" t="str">
        <f t="shared" si="3"/>
        <v>A</v>
      </c>
      <c r="J9" t="str">
        <f t="shared" si="2"/>
        <v>PASS</v>
      </c>
    </row>
    <row r="10" spans="1:10">
      <c r="A10">
        <v>7</v>
      </c>
      <c r="B10" t="s">
        <v>16</v>
      </c>
      <c r="C10" s="2">
        <v>35</v>
      </c>
      <c r="D10" s="2">
        <v>45</v>
      </c>
      <c r="E10" s="2">
        <v>41</v>
      </c>
      <c r="F10" s="2">
        <v>39</v>
      </c>
      <c r="G10" s="2">
        <f t="shared" si="0"/>
        <v>160</v>
      </c>
      <c r="H10" s="3">
        <f t="shared" si="1"/>
        <v>40</v>
      </c>
      <c r="I10" s="5" t="str">
        <f t="shared" si="3"/>
        <v>F</v>
      </c>
      <c r="J10" t="str">
        <f t="shared" si="2"/>
        <v>FAIL</v>
      </c>
    </row>
    <row r="11" spans="1:10">
      <c r="A11">
        <v>8</v>
      </c>
      <c r="B11" t="s">
        <v>17</v>
      </c>
      <c r="C11" s="2">
        <v>74</v>
      </c>
      <c r="D11" s="2">
        <v>69</v>
      </c>
      <c r="E11" s="2">
        <v>77</v>
      </c>
      <c r="F11" s="2">
        <v>73</v>
      </c>
      <c r="G11" s="2">
        <f t="shared" si="0"/>
        <v>293</v>
      </c>
      <c r="H11" s="3">
        <f t="shared" si="1"/>
        <v>73.25</v>
      </c>
      <c r="I11" s="5" t="str">
        <f t="shared" si="3"/>
        <v>B</v>
      </c>
      <c r="J11" t="str">
        <f t="shared" si="2"/>
        <v>PASS</v>
      </c>
    </row>
    <row r="12" spans="1:10">
      <c r="A12">
        <v>9</v>
      </c>
      <c r="B12" t="s">
        <v>18</v>
      </c>
      <c r="C12" s="2">
        <v>96</v>
      </c>
      <c r="D12" s="2">
        <v>94</v>
      </c>
      <c r="E12" s="2">
        <v>91</v>
      </c>
      <c r="F12" s="2">
        <v>98</v>
      </c>
      <c r="G12" s="2">
        <f t="shared" si="0"/>
        <v>379</v>
      </c>
      <c r="H12" s="3">
        <f t="shared" si="1"/>
        <v>94.75</v>
      </c>
      <c r="I12" s="5" t="str">
        <f t="shared" si="3"/>
        <v>A+</v>
      </c>
      <c r="J12" t="str">
        <f t="shared" si="2"/>
        <v>PASS</v>
      </c>
    </row>
    <row r="13" spans="1:10">
      <c r="A13">
        <v>10</v>
      </c>
      <c r="B13" t="s">
        <v>19</v>
      </c>
      <c r="C13" s="2">
        <v>81</v>
      </c>
      <c r="D13" s="2">
        <v>86</v>
      </c>
      <c r="E13" s="2">
        <v>79</v>
      </c>
      <c r="F13" s="2">
        <v>84</v>
      </c>
      <c r="G13" s="2">
        <f t="shared" si="0"/>
        <v>330</v>
      </c>
      <c r="H13" s="3">
        <f t="shared" si="1"/>
        <v>82.5</v>
      </c>
      <c r="I13" s="5" t="str">
        <f t="shared" si="3"/>
        <v>A</v>
      </c>
      <c r="J13" t="str">
        <f t="shared" si="2"/>
        <v>PASS</v>
      </c>
    </row>
    <row r="16" spans="1:10">
      <c r="A16" t="s">
        <v>20</v>
      </c>
    </row>
    <row r="17" spans="1:2">
      <c r="A17" t="s">
        <v>21</v>
      </c>
      <c r="B17" s="4">
        <f>AVERAGE(H10:H13)</f>
        <v>72.625</v>
      </c>
    </row>
    <row r="18" spans="1:2">
      <c r="A18" t="s">
        <v>22</v>
      </c>
      <c r="B18" s="4">
        <f>MAX(H4:H13)</f>
        <v>94.75</v>
      </c>
    </row>
    <row r="19" spans="1:2">
      <c r="A19" t="s">
        <v>23</v>
      </c>
      <c r="B19" s="4">
        <f>MIN(H4:H13)</f>
        <v>40</v>
      </c>
    </row>
    <row r="20" spans="1:2">
      <c r="A20" t="s">
        <v>24</v>
      </c>
      <c r="B20">
        <f>COUNTIF(Table1[Result],"PASS")</f>
        <v>9</v>
      </c>
    </row>
    <row r="21" spans="1:2">
      <c r="A21" t="s">
        <v>25</v>
      </c>
      <c r="B21">
        <f>COUNTIF(Table1[Result],"FAIL")</f>
        <v>1</v>
      </c>
    </row>
  </sheetData>
  <mergeCells count="1">
    <mergeCell ref="A1:J1"/>
  </mergeCells>
  <conditionalFormatting sqref="H4:H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13">
    <cfRule type="containsText" dxfId="3" priority="2" operator="containsText" text="FAIL">
      <formula>NOT(ISERROR(SEARCH("FAIL",J4)))</formula>
    </cfRule>
    <cfRule type="containsText" dxfId="2" priority="3" operator="containsText" text="FAIL">
      <formula>NOT(ISERROR(SEARCH("FAIL",J4)))</formula>
    </cfRule>
    <cfRule type="containsText" dxfId="1" priority="4" operator="containsText" text="PASS">
      <formula>NOT(ISERROR(SEARCH("PASS",J4)))</formula>
    </cfRule>
    <cfRule type="containsText" dxfId="0" priority="5" operator="containsText" text="PASS ">
      <formula>NOT(ISERROR(SEARCH("PASS ",J4)))</formula>
    </cfRule>
  </conditionalFormatting>
  <dataValidations count="1">
    <dataValidation type="whole" allowBlank="1" showInputMessage="1" showErrorMessage="1" sqref="C4:F13" xr:uid="{D1799D31-8454-4AA0-B565-851B375FB9C8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EE2CA-E675-4633-AEA5-799E342369A1}">
  <dimension ref="B2:N10"/>
  <sheetViews>
    <sheetView zoomScale="54" zoomScaleNormal="115" workbookViewId="0">
      <selection activeCell="C49" sqref="C49"/>
    </sheetView>
  </sheetViews>
  <sheetFormatPr defaultRowHeight="15"/>
  <cols>
    <col min="2" max="3" width="13.7109375" customWidth="1"/>
    <col min="5" max="6" width="13.7109375" customWidth="1"/>
  </cols>
  <sheetData>
    <row r="2" spans="2:14" ht="20.100000000000001" customHeight="1">
      <c r="B2" s="8" t="s">
        <v>27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2:14" ht="20.100000000000001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5" spans="2:14" ht="24" customHeight="1">
      <c r="B5" s="13" t="s">
        <v>29</v>
      </c>
      <c r="C5" s="14"/>
      <c r="E5" s="13" t="s">
        <v>28</v>
      </c>
      <c r="F5" s="14"/>
    </row>
    <row r="6" spans="2:14" ht="24">
      <c r="B6" s="10">
        <f>COUNTA('[1]Marks F12Data'!B4:B13)</f>
        <v>10</v>
      </c>
      <c r="C6" s="11"/>
      <c r="E6" s="12">
        <f>AVERAGE('Marks Data'!H4:H13)</f>
        <v>72.674999999999997</v>
      </c>
      <c r="F6" s="11"/>
    </row>
    <row r="8" spans="2:14" ht="15" customHeight="1"/>
    <row r="9" spans="2:14" ht="24" customHeight="1">
      <c r="B9" s="13" t="s">
        <v>30</v>
      </c>
      <c r="C9" s="14"/>
      <c r="E9" s="13" t="s">
        <v>31</v>
      </c>
      <c r="F9" s="14"/>
    </row>
    <row r="10" spans="2:14" ht="24">
      <c r="B10" s="15">
        <f>MAX('Marks Data'!H4:H13)</f>
        <v>94.75</v>
      </c>
      <c r="C10" s="16"/>
      <c r="E10" s="6">
        <f>COUNTIF('Marks Data'!J4:J13,"PASS")/COUNTA('Marks Data'!J4:J13)</f>
        <v>0.9</v>
      </c>
      <c r="F10" s="7"/>
    </row>
  </sheetData>
  <mergeCells count="9">
    <mergeCell ref="E10:F10"/>
    <mergeCell ref="B2:N3"/>
    <mergeCell ref="B10:C10"/>
    <mergeCell ref="E9:F9"/>
    <mergeCell ref="B9:C9"/>
    <mergeCell ref="B5:C5"/>
    <mergeCell ref="B6:C6"/>
    <mergeCell ref="E5:F5"/>
    <mergeCell ref="E6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A8A2-7FB4-4219-AA17-F0E5205B6776}">
  <dimension ref="A1:K44"/>
  <sheetViews>
    <sheetView zoomScale="86" zoomScaleNormal="400" workbookViewId="0">
      <selection activeCell="I35" sqref="I35"/>
    </sheetView>
  </sheetViews>
  <sheetFormatPr defaultRowHeight="15"/>
  <sheetData>
    <row r="1" spans="1:11" ht="15" customHeight="1">
      <c r="A1" s="8" t="s">
        <v>41</v>
      </c>
      <c r="B1" s="8"/>
      <c r="C1" s="8"/>
      <c r="D1" s="8"/>
      <c r="E1" s="8"/>
      <c r="F1" s="8"/>
      <c r="G1" s="8"/>
      <c r="H1" s="8"/>
    </row>
    <row r="2" spans="1:11" ht="15" customHeight="1">
      <c r="A2" s="8"/>
      <c r="B2" s="8"/>
      <c r="C2" s="8"/>
      <c r="D2" s="8"/>
      <c r="E2" s="8"/>
      <c r="F2" s="8"/>
      <c r="G2" s="8"/>
      <c r="H2" s="8"/>
    </row>
    <row r="3" spans="1:11" s="20" customFormat="1" ht="15" customHeight="1">
      <c r="A3" s="18"/>
      <c r="B3" s="18"/>
      <c r="C3" s="18"/>
      <c r="D3" s="18"/>
      <c r="E3" s="18"/>
      <c r="F3" s="18"/>
      <c r="G3" s="18"/>
      <c r="H3" s="18"/>
    </row>
    <row r="4" spans="1:11" ht="15" customHeight="1">
      <c r="A4" s="18"/>
      <c r="B4" s="18"/>
      <c r="C4" s="18"/>
      <c r="D4" s="18"/>
      <c r="E4" s="18"/>
      <c r="F4" s="18"/>
      <c r="G4" s="18"/>
      <c r="H4" s="18"/>
    </row>
    <row r="5" spans="1:11" ht="15.75">
      <c r="A5" s="21" t="s">
        <v>42</v>
      </c>
      <c r="B5" s="21"/>
      <c r="C5" s="21"/>
      <c r="D5" s="21"/>
    </row>
    <row r="6" spans="1:11" ht="45" customHeight="1">
      <c r="A6" s="24" t="s">
        <v>43</v>
      </c>
      <c r="B6" s="24"/>
      <c r="C6" s="24"/>
      <c r="D6" s="24"/>
      <c r="E6" s="24"/>
      <c r="F6" s="24"/>
      <c r="G6" s="24"/>
      <c r="H6" s="24"/>
      <c r="I6" s="23"/>
      <c r="J6" s="23"/>
      <c r="K6" s="23"/>
    </row>
    <row r="7" spans="1:11" ht="1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ht="15.75">
      <c r="A8" s="22" t="s">
        <v>44</v>
      </c>
      <c r="B8" s="22"/>
      <c r="C8" s="22"/>
      <c r="D8" s="22"/>
    </row>
    <row r="9" spans="1:11">
      <c r="A9" t="s">
        <v>45</v>
      </c>
    </row>
    <row r="11" spans="1:11" ht="15.75">
      <c r="A11" s="22" t="s">
        <v>46</v>
      </c>
      <c r="B11" s="22"/>
      <c r="C11" s="22"/>
      <c r="D11" s="22"/>
    </row>
    <row r="12" spans="1:11" s="26" customFormat="1" ht="30" customHeight="1">
      <c r="A12" s="25" t="s">
        <v>47</v>
      </c>
      <c r="B12" s="25"/>
      <c r="C12" s="25"/>
      <c r="D12" s="25"/>
      <c r="E12" s="25"/>
      <c r="F12" s="25"/>
      <c r="G12" s="25"/>
      <c r="H12" s="25"/>
    </row>
    <row r="14" spans="1:11" ht="15.75">
      <c r="A14" s="22" t="s">
        <v>48</v>
      </c>
      <c r="B14" s="22"/>
      <c r="C14" s="22"/>
      <c r="D14" s="22"/>
    </row>
    <row r="15" spans="1:11" s="26" customFormat="1" ht="30" customHeight="1">
      <c r="A15" s="25" t="s">
        <v>55</v>
      </c>
      <c r="B15" s="25"/>
      <c r="C15" s="25"/>
      <c r="D15" s="25"/>
      <c r="E15" s="25"/>
      <c r="F15" s="25"/>
      <c r="G15" s="25"/>
      <c r="H15" s="25"/>
    </row>
    <row r="17" spans="1:8" ht="15.75">
      <c r="A17" s="22" t="s">
        <v>49</v>
      </c>
      <c r="B17" s="22"/>
      <c r="C17" s="22"/>
      <c r="D17" s="22"/>
    </row>
    <row r="18" spans="1:8">
      <c r="A18" t="s">
        <v>57</v>
      </c>
    </row>
    <row r="19" spans="1:8">
      <c r="A19" t="s">
        <v>58</v>
      </c>
    </row>
    <row r="20" spans="1:8">
      <c r="A20" t="s">
        <v>59</v>
      </c>
    </row>
    <row r="21" spans="1:8">
      <c r="A21" t="s">
        <v>60</v>
      </c>
    </row>
    <row r="23" spans="1:8" ht="15.75">
      <c r="A23" s="22" t="s">
        <v>50</v>
      </c>
      <c r="B23" s="22"/>
      <c r="C23" s="22"/>
      <c r="D23" s="22"/>
    </row>
    <row r="24" spans="1:8" ht="30" customHeight="1">
      <c r="A24" s="25" t="s">
        <v>51</v>
      </c>
      <c r="B24" s="25"/>
      <c r="C24" s="25"/>
      <c r="D24" s="25"/>
      <c r="E24" s="25"/>
      <c r="F24" s="25"/>
      <c r="G24" s="25"/>
      <c r="H24" s="25"/>
    </row>
    <row r="25" spans="1:8" ht="15" customHeight="1">
      <c r="A25" s="29"/>
      <c r="B25" s="29"/>
      <c r="C25" s="29"/>
      <c r="D25" s="29"/>
      <c r="E25" s="29"/>
      <c r="F25" s="29"/>
      <c r="G25" s="29"/>
      <c r="H25" s="29"/>
    </row>
    <row r="26" spans="1:8" ht="15" customHeight="1">
      <c r="A26" s="29"/>
      <c r="B26" s="29"/>
      <c r="C26" s="29"/>
      <c r="D26" s="29"/>
      <c r="E26" s="29"/>
      <c r="F26" s="29"/>
      <c r="G26" s="29"/>
      <c r="H26" s="29"/>
    </row>
    <row r="27" spans="1:8" ht="15" customHeight="1">
      <c r="A27" s="29"/>
      <c r="B27" s="29"/>
      <c r="C27" s="29"/>
      <c r="D27" s="29"/>
      <c r="E27" s="29"/>
      <c r="F27" s="29"/>
      <c r="G27" s="29"/>
      <c r="H27" s="29"/>
    </row>
    <row r="28" spans="1:8" ht="15" customHeight="1">
      <c r="A28" s="29"/>
      <c r="B28" s="29"/>
      <c r="C28" s="29"/>
      <c r="D28" s="29"/>
      <c r="E28" s="29"/>
      <c r="F28" s="29"/>
      <c r="G28" s="29"/>
      <c r="H28" s="29"/>
    </row>
    <row r="29" spans="1:8" ht="15" customHeight="1">
      <c r="A29" s="29"/>
      <c r="B29" s="29"/>
      <c r="C29" s="29"/>
      <c r="D29" s="29"/>
      <c r="E29" s="29"/>
      <c r="F29" s="29"/>
      <c r="G29" s="29"/>
      <c r="H29" s="29"/>
    </row>
    <row r="30" spans="1:8" ht="15" customHeight="1">
      <c r="A30" s="29"/>
      <c r="B30" s="29"/>
      <c r="C30" s="29"/>
      <c r="D30" s="29"/>
      <c r="E30" s="29"/>
      <c r="F30" s="29"/>
      <c r="G30" s="29"/>
      <c r="H30" s="29"/>
    </row>
    <row r="31" spans="1:8" ht="15" customHeight="1">
      <c r="A31" s="29"/>
      <c r="B31" s="29"/>
      <c r="C31" s="29"/>
      <c r="D31" s="29"/>
      <c r="E31" s="29"/>
      <c r="F31" s="29"/>
      <c r="G31" s="29"/>
      <c r="H31" s="29"/>
    </row>
    <row r="32" spans="1:8" ht="15" customHeight="1">
      <c r="A32" s="29"/>
      <c r="B32" s="29"/>
      <c r="C32" s="29"/>
      <c r="D32" s="29"/>
      <c r="E32" s="29"/>
      <c r="F32" s="29"/>
      <c r="G32" s="29"/>
      <c r="H32" s="29"/>
    </row>
    <row r="33" spans="1:11" ht="15" customHeight="1">
      <c r="A33" s="29"/>
      <c r="B33" s="29"/>
      <c r="C33" s="29"/>
      <c r="D33" s="29"/>
      <c r="E33" s="29"/>
      <c r="F33" s="29"/>
      <c r="G33" s="29"/>
      <c r="H33" s="29"/>
    </row>
    <row r="34" spans="1:11" ht="15" customHeight="1">
      <c r="A34" s="29"/>
      <c r="B34" s="29"/>
      <c r="C34" s="29"/>
      <c r="D34" s="29"/>
      <c r="E34" s="29"/>
      <c r="F34" s="29"/>
      <c r="G34" s="29"/>
      <c r="H34" s="29"/>
    </row>
    <row r="35" spans="1:11" ht="15" customHeight="1">
      <c r="A35" s="29"/>
      <c r="B35" s="29"/>
      <c r="C35" s="29"/>
      <c r="D35" s="29"/>
      <c r="E35" s="29"/>
      <c r="F35" s="29"/>
      <c r="G35" s="29"/>
      <c r="H35" s="29"/>
    </row>
    <row r="36" spans="1:11" ht="15" customHeight="1">
      <c r="A36" s="29"/>
      <c r="B36" s="29"/>
      <c r="C36" s="29"/>
      <c r="D36" s="29"/>
      <c r="E36" s="29"/>
      <c r="F36" s="29"/>
      <c r="G36" s="29"/>
      <c r="H36" s="29"/>
    </row>
    <row r="37" spans="1:11" ht="15" customHeight="1">
      <c r="A37" s="29"/>
      <c r="B37" s="29"/>
      <c r="C37" s="29"/>
      <c r="D37" s="29"/>
      <c r="E37" s="29"/>
      <c r="F37" s="29"/>
      <c r="G37" s="29"/>
      <c r="H37" s="29"/>
    </row>
    <row r="38" spans="1:11" ht="15" customHeight="1">
      <c r="A38" s="29"/>
      <c r="B38" s="29"/>
      <c r="C38" s="29"/>
      <c r="D38" s="29"/>
      <c r="E38" s="29"/>
      <c r="F38" s="29"/>
      <c r="G38" s="29"/>
      <c r="H38" s="29"/>
    </row>
    <row r="40" spans="1:11" ht="15.75">
      <c r="A40" s="21" t="s">
        <v>52</v>
      </c>
      <c r="B40" s="21"/>
      <c r="C40" s="21"/>
      <c r="D40" s="21"/>
    </row>
    <row r="41" spans="1:11" ht="45" customHeight="1">
      <c r="A41" s="25" t="s">
        <v>56</v>
      </c>
      <c r="B41" s="25"/>
      <c r="C41" s="25"/>
      <c r="D41" s="25"/>
      <c r="E41" s="25"/>
      <c r="F41" s="25"/>
      <c r="G41" s="25"/>
      <c r="H41" s="25"/>
      <c r="I41" s="17"/>
      <c r="J41" s="17"/>
      <c r="K41" s="17"/>
    </row>
    <row r="43" spans="1:11" ht="15.75">
      <c r="A43" s="22" t="s">
        <v>53</v>
      </c>
      <c r="B43" s="22"/>
      <c r="C43" s="22"/>
      <c r="D43" s="22"/>
    </row>
    <row r="44" spans="1:11" ht="39.950000000000003" customHeight="1">
      <c r="A44" s="28" t="s">
        <v>54</v>
      </c>
      <c r="B44" s="28"/>
      <c r="C44" s="28"/>
      <c r="D44" s="28"/>
      <c r="E44" s="28"/>
      <c r="F44" s="28"/>
      <c r="G44" s="28"/>
      <c r="H44" s="28"/>
      <c r="I44" s="27"/>
      <c r="J44" s="27"/>
      <c r="K44" s="27"/>
    </row>
  </sheetData>
  <mergeCells count="15">
    <mergeCell ref="A44:H44"/>
    <mergeCell ref="A40:D40"/>
    <mergeCell ref="A43:D43"/>
    <mergeCell ref="A6:H6"/>
    <mergeCell ref="A12:H12"/>
    <mergeCell ref="A15:H15"/>
    <mergeCell ref="A24:H24"/>
    <mergeCell ref="A41:H41"/>
    <mergeCell ref="A17:D17"/>
    <mergeCell ref="A14:D14"/>
    <mergeCell ref="A11:D11"/>
    <mergeCell ref="A8:D8"/>
    <mergeCell ref="A5:D5"/>
    <mergeCell ref="A23:D23"/>
    <mergeCell ref="A1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EBFF-C140-4CB2-88D1-5A900BB5E423}">
  <dimension ref="A1:F7"/>
  <sheetViews>
    <sheetView workbookViewId="0">
      <selection activeCell="E9" sqref="E9"/>
    </sheetView>
  </sheetViews>
  <sheetFormatPr defaultRowHeight="15"/>
  <sheetData>
    <row r="1" spans="1:6">
      <c r="A1" t="s">
        <v>8</v>
      </c>
      <c r="B1" t="s">
        <v>32</v>
      </c>
      <c r="E1" t="s">
        <v>39</v>
      </c>
      <c r="F1" t="s">
        <v>40</v>
      </c>
    </row>
    <row r="2" spans="1:6">
      <c r="A2" t="s">
        <v>33</v>
      </c>
      <c r="B2">
        <f>COUNTIF('Marks Data'!I4:I13,A2)</f>
        <v>2</v>
      </c>
      <c r="E2" t="s">
        <v>2</v>
      </c>
      <c r="F2">
        <f>AVERAGE('Marks Data'!B4:C13)</f>
        <v>70.599999999999994</v>
      </c>
    </row>
    <row r="3" spans="1:6">
      <c r="A3" t="s">
        <v>34</v>
      </c>
      <c r="B3">
        <f>COUNTIF('Marks Data'!I4:I13,A3)</f>
        <v>3</v>
      </c>
      <c r="E3" t="s">
        <v>3</v>
      </c>
      <c r="F3">
        <f>AVERAGE('Marks Data'!D4:D13)</f>
        <v>73.099999999999994</v>
      </c>
    </row>
    <row r="4" spans="1:6">
      <c r="A4" t="s">
        <v>35</v>
      </c>
      <c r="B4">
        <f>COUNTIF('Marks Data'!I4:I13,A4)</f>
        <v>1</v>
      </c>
      <c r="E4" t="s">
        <v>4</v>
      </c>
      <c r="F4">
        <f>AVERAGE('Marks Data'!E4:E13)</f>
        <v>72.3</v>
      </c>
    </row>
    <row r="5" spans="1:6">
      <c r="A5" t="s">
        <v>36</v>
      </c>
      <c r="B5">
        <f>COUNTIF('Marks Data'!I4:I13,A5)</f>
        <v>1</v>
      </c>
      <c r="E5" t="s">
        <v>5</v>
      </c>
      <c r="F5">
        <f>AVERAGE('Marks Data'!F4:F13)</f>
        <v>74.7</v>
      </c>
    </row>
    <row r="6" spans="1:6">
      <c r="A6" t="s">
        <v>37</v>
      </c>
      <c r="B6">
        <f>COUNTIF('Marks Data'!I7:I16,A6)</f>
        <v>1</v>
      </c>
    </row>
    <row r="7" spans="1:6">
      <c r="A7" t="s">
        <v>38</v>
      </c>
      <c r="B7">
        <f>COUNTIF('Marks Data'!I4:I13,A7)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Marks Data</vt:lpstr>
      <vt:lpstr>Dashboard</vt:lpstr>
      <vt:lpstr>Project Report</vt:lpstr>
      <vt:lpstr>Dashboard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Rajesh</dc:creator>
  <cp:lastModifiedBy>Aishwarya Rajesh</cp:lastModifiedBy>
  <dcterms:created xsi:type="dcterms:W3CDTF">2026-08-10T12:18:48Z</dcterms:created>
  <dcterms:modified xsi:type="dcterms:W3CDTF">2026-08-11T14:48:35Z</dcterms:modified>
</cp:coreProperties>
</file>